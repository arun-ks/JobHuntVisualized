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arun\Learn\Excels\JobHunt\"/>
    </mc:Choice>
  </mc:AlternateContent>
  <xr:revisionPtr revIDLastSave="0" documentId="8_{C9542173-35E9-49A2-B693-47F959B25F2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JobHunt" sheetId="1" r:id="rId1"/>
  </sheets>
  <definedNames>
    <definedName name="_xlpm.age" hidden="1" xlm="1">#NAME?</definedName>
    <definedName name="_xlpm.lastDate" hidden="1" xlm="1">#NAME?</definedName>
    <definedName name="_xlpm.stateNam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 a="1"/>
  <c r="O3" i="1" s="1"/>
  <c r="O4" i="1" a="1"/>
  <c r="O4" i="1" s="1"/>
  <c r="O5" i="1" a="1"/>
  <c r="O5" i="1" s="1"/>
  <c r="O6" i="1" a="1"/>
  <c r="O6" i="1" s="1"/>
  <c r="O7" i="1" a="1"/>
  <c r="O7" i="1" s="1"/>
  <c r="O8" i="1" a="1"/>
  <c r="O8" i="1" s="1"/>
  <c r="O9" i="1" a="1"/>
  <c r="O9" i="1" s="1"/>
  <c r="O10" i="1" a="1"/>
  <c r="O10" i="1" s="1"/>
  <c r="O11" i="1" a="1"/>
  <c r="O11" i="1" s="1"/>
  <c r="O12" i="1" a="1"/>
  <c r="O12" i="1" s="1"/>
  <c r="O13" i="1" a="1"/>
  <c r="O13" i="1" s="1"/>
  <c r="O14" i="1" a="1"/>
  <c r="O14" i="1" s="1"/>
  <c r="O15" i="1" a="1"/>
  <c r="O15" i="1" s="1"/>
  <c r="O16" i="1" a="1"/>
  <c r="O16" i="1" s="1"/>
  <c r="Q3" i="1" a="1"/>
  <c r="Q3" i="1"/>
  <c r="Q4" i="1" a="1"/>
  <c r="Q4" i="1"/>
  <c r="Q5" i="1" a="1"/>
  <c r="Q5" i="1"/>
  <c r="Q6" i="1" a="1"/>
  <c r="Q6" i="1"/>
  <c r="Q7" i="1" a="1"/>
  <c r="Q7" i="1"/>
  <c r="Q8" i="1" a="1"/>
  <c r="Q8" i="1" s="1"/>
  <c r="Q9" i="1" a="1"/>
  <c r="Q9" i="1"/>
  <c r="Q10" i="1" a="1"/>
  <c r="Q10" i="1"/>
  <c r="Q11" i="1" a="1"/>
  <c r="Q11" i="1"/>
  <c r="Q12" i="1" a="1"/>
  <c r="Q12" i="1"/>
  <c r="Q13" i="1" a="1"/>
  <c r="Q13" i="1"/>
  <c r="Q14" i="1" a="1"/>
  <c r="Q14" i="1"/>
  <c r="Q15" i="1" a="1"/>
  <c r="Q15" i="1"/>
  <c r="Q16" i="1" a="1"/>
  <c r="Q16" i="1"/>
  <c r="T16" i="1" a="1"/>
  <c r="T16" i="1" s="1"/>
  <c r="S16" i="1" a="1"/>
  <c r="S16" i="1" s="1"/>
  <c r="R16" i="1" a="1"/>
  <c r="R16" i="1" s="1"/>
  <c r="P16" i="1"/>
  <c r="N16" i="1" a="1"/>
  <c r="N16" i="1" s="1"/>
  <c r="T15" i="1" a="1"/>
  <c r="T15" i="1" s="1"/>
  <c r="S15" i="1"/>
  <c r="S15" i="1" a="1"/>
  <c r="R15" i="1" a="1"/>
  <c r="R15" i="1" s="1"/>
  <c r="P15" i="1"/>
  <c r="N15" i="1" a="1"/>
  <c r="N15" i="1" s="1"/>
  <c r="T14" i="1" a="1"/>
  <c r="T14" i="1" s="1"/>
  <c r="S14" i="1" a="1"/>
  <c r="S14" i="1" s="1"/>
  <c r="R14" i="1" a="1"/>
  <c r="R14" i="1" s="1"/>
  <c r="P14" i="1"/>
  <c r="N14" i="1" a="1"/>
  <c r="N14" i="1" s="1"/>
  <c r="T13" i="1" a="1"/>
  <c r="T13" i="1" s="1"/>
  <c r="S13" i="1"/>
  <c r="S13" i="1" a="1"/>
  <c r="R13" i="1" a="1"/>
  <c r="R13" i="1" s="1"/>
  <c r="P13" i="1"/>
  <c r="N13" i="1" a="1"/>
  <c r="N13" i="1" s="1"/>
  <c r="T12" i="1" a="1"/>
  <c r="T12" i="1" s="1"/>
  <c r="S12" i="1" a="1"/>
  <c r="S12" i="1" s="1"/>
  <c r="R12" i="1" a="1"/>
  <c r="R12" i="1" s="1"/>
  <c r="P12" i="1"/>
  <c r="N12" i="1" a="1"/>
  <c r="N12" i="1" s="1"/>
  <c r="T11" i="1" a="1"/>
  <c r="T11" i="1" s="1"/>
  <c r="S11" i="1"/>
  <c r="S11" i="1" a="1"/>
  <c r="R11" i="1" a="1"/>
  <c r="R11" i="1" s="1"/>
  <c r="P11" i="1"/>
  <c r="N11" i="1" a="1"/>
  <c r="N11" i="1" s="1"/>
  <c r="T10" i="1" a="1"/>
  <c r="T10" i="1" s="1"/>
  <c r="S10" i="1" a="1"/>
  <c r="S10" i="1" s="1"/>
  <c r="R10" i="1" a="1"/>
  <c r="R10" i="1" s="1"/>
  <c r="P10" i="1"/>
  <c r="N10" i="1" a="1"/>
  <c r="N10" i="1" s="1"/>
  <c r="T9" i="1" a="1"/>
  <c r="T9" i="1" s="1"/>
  <c r="S9" i="1" a="1"/>
  <c r="S9" i="1" s="1"/>
  <c r="R9" i="1" a="1"/>
  <c r="R9" i="1" s="1"/>
  <c r="P9" i="1"/>
  <c r="N9" i="1" a="1"/>
  <c r="N9" i="1" s="1"/>
  <c r="T8" i="1" a="1"/>
  <c r="T8" i="1" s="1"/>
  <c r="S8" i="1" a="1"/>
  <c r="S8" i="1" s="1"/>
  <c r="R8" i="1" a="1"/>
  <c r="R8" i="1" s="1"/>
  <c r="P8" i="1"/>
  <c r="N8" i="1" a="1"/>
  <c r="N8" i="1" s="1"/>
  <c r="T7" i="1" a="1"/>
  <c r="T7" i="1" s="1"/>
  <c r="S7" i="1" a="1"/>
  <c r="S7" i="1" s="1"/>
  <c r="R7" i="1" a="1"/>
  <c r="R7" i="1" s="1"/>
  <c r="P7" i="1"/>
  <c r="N7" i="1" a="1"/>
  <c r="N7" i="1" s="1"/>
  <c r="T6" i="1" a="1"/>
  <c r="T6" i="1" s="1"/>
  <c r="S6" i="1" a="1"/>
  <c r="S6" i="1" s="1"/>
  <c r="R6" i="1" a="1"/>
  <c r="R6" i="1" s="1"/>
  <c r="P6" i="1"/>
  <c r="N6" i="1" a="1"/>
  <c r="N6" i="1" s="1"/>
  <c r="T5" i="1" a="1"/>
  <c r="T5" i="1" s="1"/>
  <c r="S5" i="1" a="1"/>
  <c r="S5" i="1" s="1"/>
  <c r="R5" i="1" a="1"/>
  <c r="R5" i="1" s="1"/>
  <c r="P5" i="1"/>
  <c r="N5" i="1" a="1"/>
  <c r="N5" i="1" s="1"/>
  <c r="T4" i="1" a="1"/>
  <c r="T4" i="1" s="1"/>
  <c r="S4" i="1" a="1"/>
  <c r="S4" i="1" s="1"/>
  <c r="R4" i="1" a="1"/>
  <c r="R4" i="1" s="1"/>
  <c r="P4" i="1"/>
  <c r="N4" i="1" a="1"/>
  <c r="N4" i="1" s="1"/>
  <c r="T3" i="1" a="1"/>
  <c r="T3" i="1" s="1"/>
  <c r="S3" i="1" a="1"/>
  <c r="S3" i="1" s="1"/>
  <c r="R3" i="1" a="1"/>
  <c r="R3" i="1" s="1"/>
  <c r="P3" i="1"/>
  <c r="N3" i="1" a="1"/>
  <c r="N3" i="1" s="1"/>
  <c r="T2" i="1" a="1"/>
  <c r="T2" i="1" s="1"/>
  <c r="S2" i="1" a="1"/>
  <c r="S2" i="1" s="1"/>
  <c r="R2" i="1" a="1"/>
  <c r="R2" i="1" s="1"/>
  <c r="Q2" i="1" a="1"/>
  <c r="Q2" i="1" s="1"/>
  <c r="P2" i="1"/>
  <c r="O2" i="1" a="1"/>
  <c r="O2" i="1" s="1"/>
  <c r="N2" i="1" a="1"/>
  <c r="N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<sst xmlns="http://schemas.openxmlformats.org/spreadsheetml/2006/main" count="80" uniqueCount="63">
  <si>
    <t>Company Name</t>
  </si>
  <si>
    <t>Position Name</t>
  </si>
  <si>
    <t>Role Type</t>
  </si>
  <si>
    <t>Date- Job Posted</t>
  </si>
  <si>
    <t>Date- Applied</t>
  </si>
  <si>
    <t>Flag to see if the job posting is still accepting candidates</t>
  </si>
  <si>
    <t>Date- Short Listed</t>
  </si>
  <si>
    <t>Date- Interview/Test</t>
  </si>
  <si>
    <t>Date- Offer</t>
  </si>
  <si>
    <t>Date- Rejected</t>
  </si>
  <si>
    <t>Date- Declined by Me</t>
  </si>
  <si>
    <t>Log</t>
  </si>
  <si>
    <t>Status</t>
  </si>
  <si>
    <t>Portal</t>
  </si>
  <si>
    <t>Project Manager</t>
  </si>
  <si>
    <t>AI</t>
  </si>
  <si>
    <t>URL of Job Posting</t>
  </si>
  <si>
    <t>Date- Dormant</t>
  </si>
  <si>
    <t>Date- Last Activity</t>
  </si>
  <si>
    <t>Aged Days</t>
  </si>
  <si>
    <t>Status OLD</t>
  </si>
  <si>
    <t>Work</t>
  </si>
  <si>
    <t>Capgemini</t>
  </si>
  <si>
    <t>Technical Delivery Manager</t>
  </si>
  <si>
    <t>https://www.linkedin.com/jobs/view/4400065222/</t>
  </si>
  <si>
    <t>Accenture</t>
  </si>
  <si>
    <t>Technology Strategy &amp; Roadmap Architect Senior Manager</t>
  </si>
  <si>
    <t>Architect</t>
  </si>
  <si>
    <t>https://accenture.wd103.myworkdayjobs.com/en-US/AccentureCareers/job/Technology-Strategy---Roadmap-Architect-Senior-Manager_12906996-1</t>
  </si>
  <si>
    <t>GenAI Architect (388949)</t>
  </si>
  <si>
    <t>https://www.capgemini.com/jobs/388949-en_GB_SAPBTP/GenAI-Architect</t>
  </si>
  <si>
    <t>AI Data Scientist</t>
  </si>
  <si>
    <t>https://www.linkedin.com/jobs/view/4406976424/</t>
  </si>
  <si>
    <t>DHL</t>
  </si>
  <si>
    <t>IT Solutions Consultant</t>
  </si>
  <si>
    <t>Consultant/Analyst</t>
  </si>
  <si>
    <t>https://dpdhlgroup.avature.net/en_US/jobs/JobDetail/IT-Solutions-Consultant-RC036673-Jane-Fong/337146</t>
  </si>
  <si>
    <t>https://dpdhlgroup.avature.net/en_US/jobs/JobDetail/Project-Manager-RC036185-Bernard/339845</t>
  </si>
  <si>
    <t>VDart Malaysia</t>
  </si>
  <si>
    <t>IT Project Manager</t>
  </si>
  <si>
    <t>https://www.linkedin.com/jobs/view/4437017362/</t>
  </si>
  <si>
    <t>Malayan Banking Berhad (Maybank)</t>
  </si>
  <si>
    <t>AI Data Scientist, AI/ML CoE, Group Data &amp; Analytics, GSI</t>
  </si>
  <si>
    <t>https://my.jobstreet.com/job/92899330</t>
  </si>
  <si>
    <t>Agensi Pekerjaan RecruitFirst Sdn Bhd</t>
  </si>
  <si>
    <t>AI Engineer / Machine Learning Engineer</t>
  </si>
  <si>
    <t>https://my.jobstreet.com/job/93021030</t>
  </si>
  <si>
    <t>Michael Page</t>
  </si>
  <si>
    <t>Digital Product Manager</t>
  </si>
  <si>
    <t>https://www.michaelpage.com.my/job-detail/digital-product-manager/ref/jn-072026-7055473</t>
  </si>
  <si>
    <t>Sime Darby Property</t>
  </si>
  <si>
    <t>Manager, Project Management &amp; Business Analysis</t>
  </si>
  <si>
    <t>https://www.linkedin.com/jobs/view/4436079352/</t>
  </si>
  <si>
    <t>U Mobile</t>
  </si>
  <si>
    <t>Senior Specialist – Fixed Connectivity</t>
  </si>
  <si>
    <t>https://www.linkedin.com/jobs/view/4438943235/</t>
  </si>
  <si>
    <t>SoftwareOne</t>
  </si>
  <si>
    <t>Programme Manager</t>
  </si>
  <si>
    <t>https://careers-softwareone.icims.com/jobs/28836/programme-manager/job</t>
  </si>
  <si>
    <t>Business Analyst</t>
  </si>
  <si>
    <t>https://careers-softwareone.icims.com/jobs/28780/business-analyst/job</t>
  </si>
  <si>
    <t>Senior Project Manager</t>
  </si>
  <si>
    <t>https://careers-softwareone.icims.com/jobs/28776/senior-project-manager/job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</si>
</sst>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2" fillId="3" borderId="1" xfId="0" applyFont="1" applyFill="1" applyBorder="1"/>
    <xf numFmtId="0" fontId="0" fillId="0" borderId="1" xfId="0" applyBorder="1"/>
    <xf numFmtId="0" fontId="3" fillId="0" borderId="1" xfId="0" applyFont="1" applyBorder="1"/>
    <xf numFmtId="0" fontId="4" fillId="4" borderId="1" xfId="0" applyFont="1" applyFill="1" applyBorder="1"/>
    <xf numFmtId="0" fontId="0" fillId="0" borderId="1" xfId="0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15" fontId="0" fillId="0" borderId="1" xfId="0" applyNumberFormat="1" applyBorder="1"/>
    <xf numFmtId="0" fontId="5" fillId="0" borderId="1" xfId="0" applyFont="1" applyBorder="1"/>
    <xf numFmtId="15" fontId="0" fillId="0" borderId="1" xfId="0" applyNumberFormat="1" applyBorder="1" applyAlignment="1">
      <alignment horizontal="center"/>
    </xf>
    <xf numFmtId="1" fontId="0" fillId="0" borderId="1" xfId="0" applyNumberFormat="1" applyBorder="1"/>
    <xf numFmtId="0" fontId="1" fillId="0" borderId="0" xfId="1" applyAlignment="1">
      <alignment wrapText="1"/>
    </xf>
  </cellXfs>
  <cellStyles count="2">
    <cellStyle name="Normal" xfId="0" builtinId="0"/>
    <cellStyle name="Normal 183" xfId="1" xr:uid="{78294486-D8F9-49B5-8161-E4FAB37F341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6"/>
  <sheetViews>
    <sheetView tabSelected="1" topLeftCell="B1" zoomScale="55" zoomScaleNormal="55" workbookViewId="0">
      <selection activeCell="F9" sqref="F9"/>
    </sheetView>
  </sheetViews>
  <sheetFormatPr defaultRowHeight="15.75" x14ac:dyDescent="0.25"/>
  <cols>
    <col min="1" max="1" width="33.75" bestFit="1" customWidth="1"/>
    <col min="2" max="2" width="28" bestFit="1" customWidth="1"/>
    <col min="3" max="3" width="15.625" bestFit="1" customWidth="1"/>
    <col min="4" max="4" width="19.25" bestFit="1" customWidth="1"/>
    <col min="5" max="5" width="15.5" bestFit="1" customWidth="1"/>
    <col min="6" max="6" width="26.125" customWidth="1"/>
    <col min="7" max="7" width="27.375" customWidth="1"/>
    <col min="8" max="8" width="20.125" bestFit="1" customWidth="1"/>
    <col min="9" max="9" width="21.875" bestFit="1" customWidth="1"/>
    <col min="10" max="10" width="12.75" bestFit="1" customWidth="1"/>
    <col min="11" max="11" width="16.875" bestFit="1" customWidth="1"/>
    <col min="12" max="12" width="23.375" bestFit="1" customWidth="1"/>
    <col min="13" max="13" width="5.25" bestFit="1" customWidth="1"/>
    <col min="14" max="14" width="13.5" bestFit="1" customWidth="1"/>
    <col min="15" max="15" width="16.25" bestFit="1" customWidth="1"/>
    <col min="16" max="16" width="25.5" bestFit="1" customWidth="1"/>
    <col min="17" max="17" width="20.25" bestFit="1" customWidth="1"/>
    <col min="18" max="19" width="13.5" bestFit="1" customWidth="1"/>
    <col min="20" max="20" width="6.375" bestFit="1" customWidth="1"/>
  </cols>
  <sheetData>
    <row r="1" spans="1:20" x14ac:dyDescent="0.25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16</v>
      </c>
      <c r="G1" s="1" t="s">
        <v>5</v>
      </c>
      <c r="H1" s="1" t="s">
        <v>6</v>
      </c>
      <c r="I1" s="1" t="s">
        <v>7</v>
      </c>
      <c r="J1" s="1" t="s">
        <v>8</v>
      </c>
      <c r="K1" s="6" t="s">
        <v>9</v>
      </c>
      <c r="L1" s="1" t="s">
        <v>10</v>
      </c>
      <c r="M1" s="1" t="s">
        <v>11</v>
      </c>
      <c r="N1" s="3" t="s">
        <v>12</v>
      </c>
      <c r="O1" s="3" t="s">
        <v>17</v>
      </c>
      <c r="P1" s="3" t="s">
        <v>13</v>
      </c>
      <c r="Q1" s="3" t="s">
        <v>18</v>
      </c>
      <c r="R1" s="3" t="s">
        <v>19</v>
      </c>
      <c r="S1" s="3" t="s">
        <v>20</v>
      </c>
      <c r="T1" s="3" t="s">
        <v>21</v>
      </c>
    </row>
    <row r="2" spans="1:20" x14ac:dyDescent="0.25">
      <c r="A2" s="4" t="s">
        <v>22</v>
      </c>
      <c r="B2" s="7" t="s">
        <v>23</v>
      </c>
      <c r="C2" s="8" t="s">
        <v>14</v>
      </c>
      <c r="D2" s="9">
        <v>46129</v>
      </c>
      <c r="E2" s="9">
        <v>46147</v>
      </c>
      <c r="F2" s="10" t="s">
        <v>24</v>
      </c>
      <c r="G2" s="4"/>
      <c r="H2" s="9"/>
      <c r="I2" s="9"/>
      <c r="J2" s="9"/>
      <c r="K2" s="9"/>
      <c r="L2" s="9"/>
      <c r="M2" s="4"/>
      <c r="N2" s="4" t="str" cm="1">
        <f t="array" aca="1" ref="N2" ca="1">_xlfn.LET(_xlpm.stateName,SUBSTITUTE(_xlfn.IFS(ISNUMBER(L2),$L$1,ISNUMBER(K2),$K$1, ISNUMBER(J2),$J$1,ISNUMBER(I2),$I$1, ISNUMBER(H2),$H$1, ISNUMBER(E2),$E$1),"Date- ",""),
     _xlpm.age,_xlfn.DAYS(TODAY(),_xlfn.IFS(ISNUMBER(I2),I2,ISNUMBER(H2),H2,ISNUMBER(E2),E2)),
     IF(AND(_xlpm.age&gt;30, _xlpm.stateName="Applied"),"Dormant",_xlpm.stateName))</f>
        <v>Dormant</v>
      </c>
      <c r="O2" s="9" cm="1">
        <f t="array" aca="1" ref="O2" ca="1">IF(OR(ISNUMBER(J2),ISNUMBER(K2),ISNUMBER(L2)), "", _xlfn.LET(_xlpm.lastDate, _xlfn.IFS(ISNUMBER(I2), I2, ISNUMBER(H2), H2, ISNUMBER(E2), E2, TRUE, TODAY()), IF(_xlpm.lastDate+30&lt;TODAY(), _xlpm.lastDate+30, "")))</f>
        <v>46177</v>
      </c>
      <c r="P2" s="5" t="str">
        <f>SUBSTITUTE(SUBSTITUTE(MID(F2, FIND("://", F2) + 3, IF(ISNUMBER(FIND("/", F2, 9)), FIND("/", F2, 9), LEN(F2)+1) - FIND("://", F2) - 3), "www.", ""), ".com", "")</f>
        <v>linkedin</v>
      </c>
      <c r="Q2" s="9" cm="1">
        <f t="array" ref="Q2">IF(OR(ISNUMBER(J2),ISNUMBER(K2),ISNUMBER(L2)),"",
_xlfn.IFS(ISNUMBER(I2),I2,ISNUMBER(H2),H2,ISNUMBER(E2),E2))</f>
        <v>46147</v>
      </c>
      <c r="R2" s="12" cm="1">
        <f t="array" aca="1" ref="R2" ca="1">IF(OR(ISNUMBER(J2),ISNUMBER(K2),ISNUMBER(L2)),"Offer/Rejected",
_xlfn.LET(_xlpm.age,_xlfn.DAYS(TODAY(),_xlfn.IFS(ISNUMBER(I2),I2,ISNUMBER(H2),H2,ISNUMBER(E2),E2)),_xlpm.age))</f>
        <v>77</v>
      </c>
      <c r="S2" s="12" t="str" cm="1">
        <f t="array" ref="S2">SUBSTITUTE(_xlfn.IFS(ISNUMBER(L2),$L$1,ISNUMBER(K2),$K$1, ISNUMBER(J2),$J$1,ISNUMBER(I2),$I$1, ISNUMBER(H2),$H$1, ISNUMBER(E2),$E$1),"Date- ","")</f>
        <v>Applied</v>
      </c>
      <c r="T2" s="12" cm="1">
        <f t="array" aca="1" ref="T2" ca="1">_xlfn.DAYS(TODAY(),_xlfn.IFS(ISNUMBER(I2),I2,ISNUMBER(H2),H2,ISNUMBER(E2),E2))</f>
        <v>77</v>
      </c>
    </row>
    <row r="3" spans="1:20" ht="31.5" x14ac:dyDescent="0.25">
      <c r="A3" s="4" t="s">
        <v>25</v>
      </c>
      <c r="B3" s="7" t="s">
        <v>26</v>
      </c>
      <c r="C3" s="8" t="s">
        <v>27</v>
      </c>
      <c r="D3" s="9">
        <v>46121</v>
      </c>
      <c r="E3" s="9">
        <v>46147</v>
      </c>
      <c r="F3" s="10" t="s">
        <v>28</v>
      </c>
      <c r="G3" s="4"/>
      <c r="H3" s="9"/>
      <c r="I3" s="9"/>
      <c r="J3" s="9"/>
      <c r="K3" s="9"/>
      <c r="L3" s="9"/>
      <c r="M3" s="4"/>
      <c r="N3" s="4" t="str" cm="1">
        <f t="array" aca="1" ref="N3" ca="1">_xlfn.LET(_xlpm.stateName,SUBSTITUTE(_xlfn.IFS(ISNUMBER(L3),$L$1,ISNUMBER(K3),$K$1, ISNUMBER(J3),$J$1,ISNUMBER(I3),$I$1, ISNUMBER(H3),$H$1, ISNUMBER(E3),$E$1),"Date- ",""),
     _xlpm.age,_xlfn.DAYS(TODAY(),_xlfn.IFS(ISNUMBER(I3),I3,ISNUMBER(H3),H3,ISNUMBER(E3),E3)),
     IF(AND(_xlpm.age&gt;30, _xlpm.stateName="Applied"),"Dormant",_xlpm.stateName))</f>
        <v>Dormant</v>
      </c>
      <c r="O3" s="9" cm="1">
        <f t="array" aca="1" ref="O3" ca="1">IF(OR(ISNUMBER(J3),ISNUMBER(K3),ISNUMBER(L3)), "", _xlfn.LET(_xlpm.lastDate, _xlfn.IFS(ISNUMBER(I3), I3, ISNUMBER(H3), H3, ISNUMBER(E3), E3, TRUE, TODAY()), IF(_xlpm.lastDate+30&lt;TODAY(), _xlpm.lastDate+30, "")))</f>
        <v>46177</v>
      </c>
      <c r="P3" s="5" t="str">
        <f t="shared" ref="P3:P16" si="0">SUBSTITUTE(SUBSTITUTE(MID(F3, FIND("://", F3) + 3, IF(ISNUMBER(FIND("/", F3, 9)), FIND("/", F3, 9), LEN(F3)+1) - FIND("://", F3) - 3), "www.", ""), ".com", "")</f>
        <v>accenture.wd103.myworkdayjobs</v>
      </c>
      <c r="Q3" s="9" cm="1">
        <f t="array" ref="Q3">IF(OR(ISNUMBER(J3),ISNUMBER(K3),ISNUMBER(L3)),"",
_xlfn.IFS(ISNUMBER(I3),I3,ISNUMBER(H3),H3,ISNUMBER(E3),E3))</f>
        <v>46147</v>
      </c>
      <c r="R3" s="12" cm="1">
        <f t="array" aca="1" ref="R3" ca="1">IF(OR(ISNUMBER(J3),ISNUMBER(K3),ISNUMBER(L3)),"Offer/Rejected",
_xlfn.LET(_xlpm.age,_xlfn.DAYS(TODAY(),_xlfn.IFS(ISNUMBER(I3),I3,ISNUMBER(H3),H3,ISNUMBER(E3),E3)),_xlpm.age))</f>
        <v>77</v>
      </c>
      <c r="S3" s="12" t="str" cm="1">
        <f t="array" ref="S3">SUBSTITUTE(_xlfn.IFS(ISNUMBER(L3),$L$1,ISNUMBER(K3),$K$1, ISNUMBER(J3),$J$1,ISNUMBER(I3),$I$1, ISNUMBER(H3),$H$1, ISNUMBER(E3),$E$1),"Date- ","")</f>
        <v>Applied</v>
      </c>
      <c r="T3" s="12" cm="1">
        <f t="array" aca="1" ref="T3" ca="1">_xlfn.DAYS(TODAY(),_xlfn.IFS(ISNUMBER(I3),I3,ISNUMBER(H3),H3,ISNUMBER(E3),E3))</f>
        <v>77</v>
      </c>
    </row>
    <row r="4" spans="1:20" x14ac:dyDescent="0.25">
      <c r="A4" s="4" t="s">
        <v>22</v>
      </c>
      <c r="B4" s="7" t="s">
        <v>29</v>
      </c>
      <c r="C4" s="8" t="s">
        <v>15</v>
      </c>
      <c r="D4" s="9">
        <v>46133</v>
      </c>
      <c r="E4" s="9">
        <v>46147</v>
      </c>
      <c r="F4" s="10" t="s">
        <v>30</v>
      </c>
      <c r="G4" s="4"/>
      <c r="H4" s="9"/>
      <c r="I4" s="9"/>
      <c r="J4" s="9"/>
      <c r="K4" s="9"/>
      <c r="L4" s="9"/>
      <c r="M4" s="4"/>
      <c r="N4" s="4" t="str" cm="1">
        <f t="array" aca="1" ref="N4" ca="1">_xlfn.LET(_xlpm.stateName,SUBSTITUTE(_xlfn.IFS(ISNUMBER(L4),$L$1,ISNUMBER(K4),$K$1, ISNUMBER(J4),$J$1,ISNUMBER(I4),$I$1, ISNUMBER(H4),$H$1, ISNUMBER(E4),$E$1),"Date- ",""),
     _xlpm.age,_xlfn.DAYS(TODAY(),_xlfn.IFS(ISNUMBER(I4),I4,ISNUMBER(H4),H4,ISNUMBER(E4),E4)),
     IF(AND(_xlpm.age&gt;30, _xlpm.stateName="Applied"),"Dormant",_xlpm.stateName))</f>
        <v>Dormant</v>
      </c>
      <c r="O4" s="9" cm="1">
        <f t="array" aca="1" ref="O4" ca="1">IF(OR(ISNUMBER(J4),ISNUMBER(K4),ISNUMBER(L4)), "", _xlfn.LET(_xlpm.lastDate, _xlfn.IFS(ISNUMBER(I4), I4, ISNUMBER(H4), H4, ISNUMBER(E4), E4, TRUE, TODAY()), IF(_xlpm.lastDate+30&lt;TODAY(), _xlpm.lastDate+30, "")))</f>
        <v>46177</v>
      </c>
      <c r="P4" s="5" t="str">
        <f t="shared" si="0"/>
        <v>capgemini</v>
      </c>
      <c r="Q4" s="9" cm="1">
        <f t="array" ref="Q4">IF(OR(ISNUMBER(J4),ISNUMBER(K4),ISNUMBER(L4)),"",
_xlfn.IFS(ISNUMBER(I4),I4,ISNUMBER(H4),H4,ISNUMBER(E4),E4))</f>
        <v>46147</v>
      </c>
      <c r="R4" s="12" cm="1">
        <f t="array" aca="1" ref="R4" ca="1">IF(OR(ISNUMBER(J4),ISNUMBER(K4),ISNUMBER(L4)),"Offer/Rejected",
_xlfn.LET(_xlpm.age,_xlfn.DAYS(TODAY(),_xlfn.IFS(ISNUMBER(I4),I4,ISNUMBER(H4),H4,ISNUMBER(E4),E4)),_xlpm.age))</f>
        <v>77</v>
      </c>
      <c r="S4" s="12" t="str" cm="1">
        <f t="array" ref="S4">SUBSTITUTE(_xlfn.IFS(ISNUMBER(L4),$L$1,ISNUMBER(K4),$K$1, ISNUMBER(J4),$J$1,ISNUMBER(I4),$I$1, ISNUMBER(H4),$H$1, ISNUMBER(E4),$E$1),"Date- ","")</f>
        <v>Applied</v>
      </c>
      <c r="T4" s="12" cm="1">
        <f t="array" aca="1" ref="T4" ca="1">_xlfn.DAYS(TODAY(),_xlfn.IFS(ISNUMBER(I4),I4,ISNUMBER(H4),H4,ISNUMBER(E4),E4))</f>
        <v>77</v>
      </c>
    </row>
    <row r="5" spans="1:20" x14ac:dyDescent="0.25">
      <c r="A5" s="4" t="s">
        <v>22</v>
      </c>
      <c r="B5" s="7" t="s">
        <v>31</v>
      </c>
      <c r="C5" s="8" t="s">
        <v>15</v>
      </c>
      <c r="D5" s="9">
        <v>46145</v>
      </c>
      <c r="E5" s="9">
        <v>46147</v>
      </c>
      <c r="F5" s="10" t="s">
        <v>32</v>
      </c>
      <c r="G5" s="4"/>
      <c r="H5" s="9"/>
      <c r="I5" s="9"/>
      <c r="J5" s="9"/>
      <c r="K5" s="9"/>
      <c r="L5" s="9"/>
      <c r="M5" s="4"/>
      <c r="N5" s="4" t="str" cm="1">
        <f t="array" aca="1" ref="N5" ca="1">_xlfn.LET(_xlpm.stateName,SUBSTITUTE(_xlfn.IFS(ISNUMBER(L5),$L$1,ISNUMBER(K5),$K$1, ISNUMBER(J5),$J$1,ISNUMBER(I5),$I$1, ISNUMBER(H5),$H$1, ISNUMBER(E5),$E$1),"Date- ",""),
     _xlpm.age,_xlfn.DAYS(TODAY(),_xlfn.IFS(ISNUMBER(I5),I5,ISNUMBER(H5),H5,ISNUMBER(E5),E5)),
     IF(AND(_xlpm.age&gt;30, _xlpm.stateName="Applied"),"Dormant",_xlpm.stateName))</f>
        <v>Dormant</v>
      </c>
      <c r="O5" s="9" cm="1">
        <f t="array" aca="1" ref="O5" ca="1">IF(OR(ISNUMBER(J5),ISNUMBER(K5),ISNUMBER(L5)), "", _xlfn.LET(_xlpm.lastDate, _xlfn.IFS(ISNUMBER(I5), I5, ISNUMBER(H5), H5, ISNUMBER(E5), E5, TRUE, TODAY()), IF(_xlpm.lastDate+30&lt;TODAY(), _xlpm.lastDate+30, "")))</f>
        <v>46177</v>
      </c>
      <c r="P5" s="5" t="str">
        <f t="shared" si="0"/>
        <v>linkedin</v>
      </c>
      <c r="Q5" s="9" cm="1">
        <f t="array" ref="Q5">IF(OR(ISNUMBER(J5),ISNUMBER(K5),ISNUMBER(L5)),"",
_xlfn.IFS(ISNUMBER(I5),I5,ISNUMBER(H5),H5,ISNUMBER(E5),E5))</f>
        <v>46147</v>
      </c>
      <c r="R5" s="12" cm="1">
        <f t="array" aca="1" ref="R5" ca="1">IF(OR(ISNUMBER(J5),ISNUMBER(K5),ISNUMBER(L5)),"Offer/Rejected",
_xlfn.LET(_xlpm.age,_xlfn.DAYS(TODAY(),_xlfn.IFS(ISNUMBER(I5),I5,ISNUMBER(H5),H5,ISNUMBER(E5),E5)),_xlpm.age))</f>
        <v>77</v>
      </c>
      <c r="S5" s="12" t="str" cm="1">
        <f t="array" ref="S5">SUBSTITUTE(_xlfn.IFS(ISNUMBER(L5),$L$1,ISNUMBER(K5),$K$1, ISNUMBER(J5),$J$1,ISNUMBER(I5),$I$1, ISNUMBER(H5),$H$1, ISNUMBER(E5),$E$1),"Date- ","")</f>
        <v>Applied</v>
      </c>
      <c r="T5" s="12" cm="1">
        <f t="array" aca="1" ref="T5" ca="1">_xlfn.DAYS(TODAY(),_xlfn.IFS(ISNUMBER(I5),I5,ISNUMBER(H5),H5,ISNUMBER(E5),E5))</f>
        <v>77</v>
      </c>
    </row>
    <row r="6" spans="1:20" x14ac:dyDescent="0.25">
      <c r="A6" s="4" t="s">
        <v>33</v>
      </c>
      <c r="B6" s="7" t="s">
        <v>34</v>
      </c>
      <c r="C6" s="8" t="s">
        <v>35</v>
      </c>
      <c r="D6" s="9">
        <v>46066</v>
      </c>
      <c r="E6" s="9">
        <v>46147</v>
      </c>
      <c r="F6" s="10" t="s">
        <v>36</v>
      </c>
      <c r="G6" s="4"/>
      <c r="H6" s="9"/>
      <c r="I6" s="9"/>
      <c r="J6" s="9"/>
      <c r="K6" s="9">
        <v>46156</v>
      </c>
      <c r="L6" s="9"/>
      <c r="M6" s="4"/>
      <c r="N6" s="4" t="str" cm="1">
        <f t="array" aca="1" ref="N6" ca="1">_xlfn.LET(_xlpm.stateName,SUBSTITUTE(_xlfn.IFS(ISNUMBER(L6),$L$1,ISNUMBER(K6),$K$1, ISNUMBER(J6),$J$1,ISNUMBER(I6),$I$1, ISNUMBER(H6),$H$1, ISNUMBER(E6),$E$1),"Date- ",""),
     _xlpm.age,_xlfn.DAYS(TODAY(),_xlfn.IFS(ISNUMBER(I6),I6,ISNUMBER(H6),H6,ISNUMBER(E6),E6)),
     IF(AND(_xlpm.age&gt;30, _xlpm.stateName="Applied"),"Dormant",_xlpm.stateName))</f>
        <v>Rejected</v>
      </c>
      <c r="O6" s="9" t="str" cm="1">
        <f t="array" aca="1" ref="O6" ca="1">IF(OR(ISNUMBER(J6),ISNUMBER(K6),ISNUMBER(L6)), "", _xlfn.LET(_xlpm.lastDate, _xlfn.IFS(ISNUMBER(I6), I6, ISNUMBER(H6), H6, ISNUMBER(E6), E6, TRUE, TODAY()), IF(_xlpm.lastDate+30&lt;TODAY(), _xlpm.lastDate+30, "")))</f>
        <v/>
      </c>
      <c r="P6" s="5" t="str">
        <f t="shared" si="0"/>
        <v>dpdhlgroup.avature.net</v>
      </c>
      <c r="Q6" s="9" t="str" cm="1">
        <f t="array" ref="Q6">IF(OR(ISNUMBER(J6),ISNUMBER(K6),ISNUMBER(L6)),"",
_xlfn.IFS(ISNUMBER(I6),I6,ISNUMBER(H6),H6,ISNUMBER(E6),E6))</f>
        <v/>
      </c>
      <c r="R6" s="12" t="str" cm="1">
        <f t="array" aca="1" ref="R6" ca="1">IF(OR(ISNUMBER(J6),ISNUMBER(K6),ISNUMBER(L6)),"Offer/Rejected",
_xlfn.LET(_xlpm.age,_xlfn.DAYS(TODAY(),_xlfn.IFS(ISNUMBER(I6),I6,ISNUMBER(H6),H6,ISNUMBER(E6),E6)),_xlpm.age))</f>
        <v>Offer/Rejected</v>
      </c>
      <c r="S6" s="12" t="str" cm="1">
        <f t="array" ref="S6">SUBSTITUTE(_xlfn.IFS(ISNUMBER(L6),$L$1,ISNUMBER(K6),$K$1, ISNUMBER(J6),$J$1,ISNUMBER(I6),$I$1, ISNUMBER(H6),$H$1, ISNUMBER(E6),$E$1),"Date- ","")</f>
        <v>Rejected</v>
      </c>
      <c r="T6" s="12" cm="1">
        <f t="array" aca="1" ref="T6" ca="1">_xlfn.DAYS(TODAY(),_xlfn.IFS(ISNUMBER(I6),I6,ISNUMBER(H6),H6,ISNUMBER(E6),E6))</f>
        <v>77</v>
      </c>
    </row>
    <row r="7" spans="1:20" x14ac:dyDescent="0.25">
      <c r="A7" s="4" t="s">
        <v>33</v>
      </c>
      <c r="B7" s="7" t="s">
        <v>14</v>
      </c>
      <c r="C7" s="8" t="s">
        <v>14</v>
      </c>
      <c r="D7" s="9">
        <v>46083</v>
      </c>
      <c r="E7" s="9">
        <v>46147</v>
      </c>
      <c r="F7" s="10" t="s">
        <v>37</v>
      </c>
      <c r="G7" s="4"/>
      <c r="H7" s="9"/>
      <c r="I7" s="9"/>
      <c r="J7" s="9"/>
      <c r="K7" s="9"/>
      <c r="L7" s="9"/>
      <c r="M7" s="4"/>
      <c r="N7" s="4" t="str" cm="1">
        <f t="array" aca="1" ref="N7" ca="1">_xlfn.LET(_xlpm.stateName,SUBSTITUTE(_xlfn.IFS(ISNUMBER(L7),$L$1,ISNUMBER(K7),$K$1, ISNUMBER(J7),$J$1,ISNUMBER(I7),$I$1, ISNUMBER(H7),$H$1, ISNUMBER(E7),$E$1),"Date- ",""),
     _xlpm.age,_xlfn.DAYS(TODAY(),_xlfn.IFS(ISNUMBER(I7),I7,ISNUMBER(H7),H7,ISNUMBER(E7),E7)),
     IF(AND(_xlpm.age&gt;30, _xlpm.stateName="Applied"),"Dormant",_xlpm.stateName))</f>
        <v>Dormant</v>
      </c>
      <c r="O7" s="9" cm="1">
        <f t="array" aca="1" ref="O7" ca="1">IF(OR(ISNUMBER(J7),ISNUMBER(K7),ISNUMBER(L7)), "", _xlfn.LET(_xlpm.lastDate, _xlfn.IFS(ISNUMBER(I7), I7, ISNUMBER(H7), H7, ISNUMBER(E7), E7, TRUE, TODAY()), IF(_xlpm.lastDate+30&lt;TODAY(), _xlpm.lastDate+30, "")))</f>
        <v>46177</v>
      </c>
      <c r="P7" s="5" t="str">
        <f t="shared" si="0"/>
        <v>dpdhlgroup.avature.net</v>
      </c>
      <c r="Q7" s="9" cm="1">
        <f t="array" ref="Q7">IF(OR(ISNUMBER(J7),ISNUMBER(K7),ISNUMBER(L7)),"",
_xlfn.IFS(ISNUMBER(I7),I7,ISNUMBER(H7),H7,ISNUMBER(E7),E7))</f>
        <v>46147</v>
      </c>
      <c r="R7" s="12" cm="1">
        <f t="array" aca="1" ref="R7" ca="1">IF(OR(ISNUMBER(J7),ISNUMBER(K7),ISNUMBER(L7)),"Offer/Rejected",
_xlfn.LET(_xlpm.age,_xlfn.DAYS(TODAY(),_xlfn.IFS(ISNUMBER(I7),I7,ISNUMBER(H7),H7,ISNUMBER(E7),E7)),_xlpm.age))</f>
        <v>77</v>
      </c>
      <c r="S7" s="12" t="str" cm="1">
        <f t="array" ref="S7">SUBSTITUTE(_xlfn.IFS(ISNUMBER(L7),$L$1,ISNUMBER(K7),$K$1, ISNUMBER(J7),$J$1,ISNUMBER(I7),$I$1, ISNUMBER(H7),$H$1, ISNUMBER(E7),$E$1),"Date- ","")</f>
        <v>Applied</v>
      </c>
      <c r="T7" s="12" cm="1">
        <f t="array" aca="1" ref="T7" ca="1">_xlfn.DAYS(TODAY(),_xlfn.IFS(ISNUMBER(I7),I7,ISNUMBER(H7),H7,ISNUMBER(E7),E7))</f>
        <v>77</v>
      </c>
    </row>
    <row r="8" spans="1:20" s="13" customFormat="1" x14ac:dyDescent="0.25">
      <c r="A8" s="4" t="s">
        <v>38</v>
      </c>
      <c r="B8" s="7" t="s">
        <v>39</v>
      </c>
      <c r="C8" s="8" t="s">
        <v>14</v>
      </c>
      <c r="D8" s="9">
        <v>46212</v>
      </c>
      <c r="E8" s="9">
        <v>46216.118761574071</v>
      </c>
      <c r="F8" s="10" t="s">
        <v>40</v>
      </c>
      <c r="G8" s="4"/>
      <c r="H8" s="11">
        <v>46217</v>
      </c>
      <c r="I8" s="11"/>
      <c r="J8" s="11"/>
      <c r="K8" s="11"/>
      <c r="L8" s="11"/>
      <c r="M8" s="4"/>
      <c r="N8" s="4" t="str" cm="1">
        <f t="array" aca="1" ref="N8" ca="1">_xlfn.LET(_xlpm.stateName,SUBSTITUTE(_xlfn.IFS(ISNUMBER(L8),$L$1,ISNUMBER(K8),$K$1, ISNUMBER(J8),$J$1,ISNUMBER(I8),$I$1, ISNUMBER(H8),$H$1, ISNUMBER(E8),$E$1),"Date- ",""),
     _xlpm.age,_xlfn.DAYS(TODAY(),_xlfn.IFS(ISNUMBER(I8),I8,ISNUMBER(H8),H8,ISNUMBER(E8),E8)),
     IF(AND(_xlpm.age&gt;30, _xlpm.stateName="Applied"),"Dormant",_xlpm.stateName))</f>
        <v>Short Listed</v>
      </c>
      <c r="O8" s="9" t="str" cm="1">
        <f t="array" aca="1" ref="O8" ca="1">IF(OR(ISNUMBER(J8),ISNUMBER(K8),ISNUMBER(L8)), "", _xlfn.LET(_xlpm.lastDate, _xlfn.IFS(ISNUMBER(I8), I8, ISNUMBER(H8), H8, ISNUMBER(E8), E8, TRUE, TODAY()), IF(_xlpm.lastDate+30&lt;TODAY(), _xlpm.lastDate+30, "")))</f>
        <v/>
      </c>
      <c r="P8" s="5" t="str">
        <f t="shared" si="0"/>
        <v>linkedin</v>
      </c>
      <c r="Q8" s="9" cm="1">
        <f t="array" ref="Q8">IF(OR(ISNUMBER(J8),ISNUMBER(K8),ISNUMBER(L8)),"",
_xlfn.IFS(ISNUMBER(I8),I8,ISNUMBER(H8),H8,ISNUMBER(E8),E8))</f>
        <v>46217</v>
      </c>
      <c r="R8" s="12" cm="1">
        <f t="array" aca="1" ref="R8" ca="1">IF(OR(ISNUMBER(J8),ISNUMBER(K8),ISNUMBER(L8)),"Offer/Rejected",
_xlfn.LET(_xlpm.age,_xlfn.DAYS(TODAY(),_xlfn.IFS(ISNUMBER(I8),I8,ISNUMBER(H8),H8,ISNUMBER(E8),E8)),_xlpm.age))</f>
        <v>7</v>
      </c>
      <c r="S8" s="12" t="str" cm="1">
        <f t="array" ref="S8">SUBSTITUTE(_xlfn.IFS(ISNUMBER(L8),$L$1,ISNUMBER(K8),$K$1, ISNUMBER(J8),$J$1,ISNUMBER(I8),$I$1, ISNUMBER(H8),$H$1, ISNUMBER(E8),$E$1),"Date- ","")</f>
        <v>Short Listed</v>
      </c>
      <c r="T8" s="12" cm="1">
        <f t="array" aca="1" ref="T8" ca="1">_xlfn.DAYS(TODAY(),_xlfn.IFS(ISNUMBER(I8),I8,ISNUMBER(H8),H8,ISNUMBER(E8),E8))</f>
        <v>7</v>
      </c>
    </row>
    <row r="9" spans="1:20" s="13" customFormat="1" ht="31.5" x14ac:dyDescent="0.25">
      <c r="A9" s="4" t="s">
        <v>41</v>
      </c>
      <c r="B9" s="7" t="s">
        <v>42</v>
      </c>
      <c r="C9" s="8" t="s">
        <v>15</v>
      </c>
      <c r="D9" s="9">
        <v>46187</v>
      </c>
      <c r="E9" s="9">
        <v>46216.121076388888</v>
      </c>
      <c r="F9" s="10" t="s">
        <v>43</v>
      </c>
      <c r="G9" s="4"/>
      <c r="H9" s="11">
        <v>46217</v>
      </c>
      <c r="I9" s="11">
        <v>46218</v>
      </c>
      <c r="J9" s="11"/>
      <c r="K9" s="11"/>
      <c r="L9" s="11"/>
      <c r="M9" s="4"/>
      <c r="N9" s="4" t="str" cm="1">
        <f t="array" aca="1" ref="N9" ca="1">_xlfn.LET(_xlpm.stateName,SUBSTITUTE(_xlfn.IFS(ISNUMBER(L9),$L$1,ISNUMBER(K9),$K$1, ISNUMBER(J9),$J$1,ISNUMBER(I9),$I$1, ISNUMBER(H9),$H$1, ISNUMBER(E9),$E$1),"Date- ",""),
     _xlpm.age,_xlfn.DAYS(TODAY(),_xlfn.IFS(ISNUMBER(I9),I9,ISNUMBER(H9),H9,ISNUMBER(E9),E9)),
     IF(AND(_xlpm.age&gt;30, _xlpm.stateName="Applied"),"Dormant",_xlpm.stateName))</f>
        <v>Interview/Test</v>
      </c>
      <c r="O9" s="9" t="str" cm="1">
        <f t="array" aca="1" ref="O9" ca="1">IF(OR(ISNUMBER(J9),ISNUMBER(K9),ISNUMBER(L9)), "", _xlfn.LET(_xlpm.lastDate, _xlfn.IFS(ISNUMBER(I9), I9, ISNUMBER(H9), H9, ISNUMBER(E9), E9, TRUE, TODAY()), IF(_xlpm.lastDate+30&lt;TODAY(), _xlpm.lastDate+30, "")))</f>
        <v/>
      </c>
      <c r="P9" s="5" t="str">
        <f t="shared" si="0"/>
        <v>my.jobstreet</v>
      </c>
      <c r="Q9" s="9" cm="1">
        <f t="array" ref="Q9">IF(OR(ISNUMBER(J9),ISNUMBER(K9),ISNUMBER(L9)),"",
_xlfn.IFS(ISNUMBER(I9),I9,ISNUMBER(H9),H9,ISNUMBER(E9),E9))</f>
        <v>46218</v>
      </c>
      <c r="R9" s="12" cm="1">
        <f t="array" aca="1" ref="R9" ca="1">IF(OR(ISNUMBER(J9),ISNUMBER(K9),ISNUMBER(L9)),"Offer/Rejected",
_xlfn.LET(_xlpm.age,_xlfn.DAYS(TODAY(),_xlfn.IFS(ISNUMBER(I9),I9,ISNUMBER(H9),H9,ISNUMBER(E9),E9)),_xlpm.age))</f>
        <v>6</v>
      </c>
      <c r="S9" s="12" t="str" cm="1">
        <f t="array" ref="S9">SUBSTITUTE(_xlfn.IFS(ISNUMBER(L9),$L$1,ISNUMBER(K9),$K$1, ISNUMBER(J9),$J$1,ISNUMBER(I9),$I$1, ISNUMBER(H9),$H$1, ISNUMBER(E9),$E$1),"Date- ","")</f>
        <v>Interview/Test</v>
      </c>
      <c r="T9" s="12" cm="1">
        <f t="array" aca="1" ref="T9" ca="1">_xlfn.DAYS(TODAY(),_xlfn.IFS(ISNUMBER(I9),I9,ISNUMBER(H9),H9,ISNUMBER(E9),E9))</f>
        <v>6</v>
      </c>
    </row>
    <row r="10" spans="1:20" s="13" customFormat="1" ht="31.5" x14ac:dyDescent="0.25">
      <c r="A10" s="4" t="s">
        <v>44</v>
      </c>
      <c r="B10" s="7" t="s">
        <v>45</v>
      </c>
      <c r="C10" s="8" t="s">
        <v>15</v>
      </c>
      <c r="D10" s="9">
        <v>46204</v>
      </c>
      <c r="E10" s="9">
        <v>46216.122187499997</v>
      </c>
      <c r="F10" s="10" t="s">
        <v>46</v>
      </c>
      <c r="G10" s="4"/>
      <c r="H10" s="11"/>
      <c r="I10" s="11"/>
      <c r="J10" s="11"/>
      <c r="K10" s="11">
        <v>46218</v>
      </c>
      <c r="L10" s="11"/>
      <c r="M10" s="4"/>
      <c r="N10" s="4" t="str" cm="1">
        <f t="array" aca="1" ref="N10" ca="1">_xlfn.LET(_xlpm.stateName,SUBSTITUTE(_xlfn.IFS(ISNUMBER(L10),$L$1,ISNUMBER(K10),$K$1, ISNUMBER(J10),$J$1,ISNUMBER(I10),$I$1, ISNUMBER(H10),$H$1, ISNUMBER(E10),$E$1),"Date- ",""),
     _xlpm.age,_xlfn.DAYS(TODAY(),_xlfn.IFS(ISNUMBER(I10),I10,ISNUMBER(H10),H10,ISNUMBER(E10),E10)),
     IF(AND(_xlpm.age&gt;30, _xlpm.stateName="Applied"),"Dormant",_xlpm.stateName))</f>
        <v>Rejected</v>
      </c>
      <c r="O10" s="9" t="str" cm="1">
        <f t="array" aca="1" ref="O10" ca="1">IF(OR(ISNUMBER(J10),ISNUMBER(K10),ISNUMBER(L10)), "", _xlfn.LET(_xlpm.lastDate, _xlfn.IFS(ISNUMBER(I10), I10, ISNUMBER(H10), H10, ISNUMBER(E10), E10, TRUE, TODAY()), IF(_xlpm.lastDate+30&lt;TODAY(), _xlpm.lastDate+30, "")))</f>
        <v/>
      </c>
      <c r="P10" s="5" t="str">
        <f t="shared" si="0"/>
        <v>my.jobstreet</v>
      </c>
      <c r="Q10" s="9" t="str" cm="1">
        <f t="array" ref="Q10">IF(OR(ISNUMBER(J10),ISNUMBER(K10),ISNUMBER(L10)),"",
_xlfn.IFS(ISNUMBER(I10),I10,ISNUMBER(H10),H10,ISNUMBER(E10),E10))</f>
        <v/>
      </c>
      <c r="R10" s="12" t="str" cm="1">
        <f t="array" aca="1" ref="R10" ca="1">IF(OR(ISNUMBER(J10),ISNUMBER(K10),ISNUMBER(L10)),"Offer/Rejected",
_xlfn.LET(_xlpm.age,_xlfn.DAYS(TODAY(),_xlfn.IFS(ISNUMBER(I10),I10,ISNUMBER(H10),H10,ISNUMBER(E10),E10)),_xlpm.age))</f>
        <v>Offer/Rejected</v>
      </c>
      <c r="S10" s="12" t="str" cm="1">
        <f t="array" ref="S10">SUBSTITUTE(_xlfn.IFS(ISNUMBER(L10),$L$1,ISNUMBER(K10),$K$1, ISNUMBER(J10),$J$1,ISNUMBER(I10),$I$1, ISNUMBER(H10),$H$1, ISNUMBER(E10),$E$1),"Date- ","")</f>
        <v>Rejected</v>
      </c>
      <c r="T10" s="12" cm="1">
        <f t="array" aca="1" ref="T10" ca="1">_xlfn.DAYS(TODAY(),_xlfn.IFS(ISNUMBER(I10),I10,ISNUMBER(H10),H10,ISNUMBER(E10),E10))</f>
        <v>8</v>
      </c>
    </row>
    <row r="11" spans="1:20" s="13" customFormat="1" x14ac:dyDescent="0.25">
      <c r="A11" s="4" t="s">
        <v>47</v>
      </c>
      <c r="B11" s="7" t="s">
        <v>48</v>
      </c>
      <c r="C11" s="8" t="s">
        <v>14</v>
      </c>
      <c r="D11" s="9">
        <v>46186</v>
      </c>
      <c r="E11" s="9">
        <v>46216.143761574072</v>
      </c>
      <c r="F11" s="10" t="s">
        <v>49</v>
      </c>
      <c r="G11" s="4"/>
      <c r="H11" s="11"/>
      <c r="I11" s="11"/>
      <c r="J11" s="11"/>
      <c r="K11" s="11"/>
      <c r="L11" s="11"/>
      <c r="M11" s="4"/>
      <c r="N11" s="4" t="str" cm="1">
        <f t="array" aca="1" ref="N11" ca="1">_xlfn.LET(_xlpm.stateName,SUBSTITUTE(_xlfn.IFS(ISNUMBER(L11),$L$1,ISNUMBER(K11),$K$1, ISNUMBER(J11),$J$1,ISNUMBER(I11),$I$1, ISNUMBER(H11),$H$1, ISNUMBER(E11),$E$1),"Date- ",""),
     _xlpm.age,_xlfn.DAYS(TODAY(),_xlfn.IFS(ISNUMBER(I11),I11,ISNUMBER(H11),H11,ISNUMBER(E11),E11)),
     IF(AND(_xlpm.age&gt;30, _xlpm.stateName="Applied"),"Dormant",_xlpm.stateName))</f>
        <v>Applied</v>
      </c>
      <c r="O11" s="9" t="str" cm="1">
        <f t="array" aca="1" ref="O11" ca="1">IF(OR(ISNUMBER(J11),ISNUMBER(K11),ISNUMBER(L11)), "", _xlfn.LET(_xlpm.lastDate, _xlfn.IFS(ISNUMBER(I11), I11, ISNUMBER(H11), H11, ISNUMBER(E11), E11, TRUE, TODAY()), IF(_xlpm.lastDate+30&lt;TODAY(), _xlpm.lastDate+30, "")))</f>
        <v/>
      </c>
      <c r="P11" s="5" t="str">
        <f t="shared" si="0"/>
        <v>michaelpage.my</v>
      </c>
      <c r="Q11" s="9" cm="1">
        <f t="array" ref="Q11">IF(OR(ISNUMBER(J11),ISNUMBER(K11),ISNUMBER(L11)),"",
_xlfn.IFS(ISNUMBER(I11),I11,ISNUMBER(H11),H11,ISNUMBER(E11),E11))</f>
        <v>46216.143761574072</v>
      </c>
      <c r="R11" s="12" cm="1">
        <f t="array" aca="1" ref="R11" ca="1">IF(OR(ISNUMBER(J11),ISNUMBER(K11),ISNUMBER(L11)),"Offer/Rejected",
_xlfn.LET(_xlpm.age,_xlfn.DAYS(TODAY(),_xlfn.IFS(ISNUMBER(I11),I11,ISNUMBER(H11),H11,ISNUMBER(E11),E11)),_xlpm.age))</f>
        <v>8</v>
      </c>
      <c r="S11" s="12" t="str" cm="1">
        <f t="array" ref="S11">SUBSTITUTE(_xlfn.IFS(ISNUMBER(L11),$L$1,ISNUMBER(K11),$K$1, ISNUMBER(J11),$J$1,ISNUMBER(I11),$I$1, ISNUMBER(H11),$H$1, ISNUMBER(E11),$E$1),"Date- ","")</f>
        <v>Applied</v>
      </c>
      <c r="T11" s="12" cm="1">
        <f t="array" aca="1" ref="T11" ca="1">_xlfn.DAYS(TODAY(),_xlfn.IFS(ISNUMBER(I11),I11,ISNUMBER(H11),H11,ISNUMBER(E11),E11))</f>
        <v>8</v>
      </c>
    </row>
    <row r="12" spans="1:20" s="13" customFormat="1" ht="31.5" x14ac:dyDescent="0.25">
      <c r="A12" s="4" t="s">
        <v>50</v>
      </c>
      <c r="B12" s="7" t="s">
        <v>51</v>
      </c>
      <c r="C12" s="8" t="s">
        <v>14</v>
      </c>
      <c r="D12" s="9">
        <v>46210</v>
      </c>
      <c r="E12" s="9">
        <v>46216.148969907408</v>
      </c>
      <c r="F12" s="10" t="s">
        <v>52</v>
      </c>
      <c r="G12" s="4"/>
      <c r="H12" s="11"/>
      <c r="I12" s="11"/>
      <c r="J12" s="11"/>
      <c r="K12" s="11">
        <v>46220</v>
      </c>
      <c r="L12" s="11"/>
      <c r="M12" s="4"/>
      <c r="N12" s="4" t="str" cm="1">
        <f t="array" aca="1" ref="N12" ca="1">_xlfn.LET(_xlpm.stateName,SUBSTITUTE(_xlfn.IFS(ISNUMBER(L12),$L$1,ISNUMBER(K12),$K$1, ISNUMBER(J12),$J$1,ISNUMBER(I12),$I$1, ISNUMBER(H12),$H$1, ISNUMBER(E12),$E$1),"Date- ",""),
     _xlpm.age,_xlfn.DAYS(TODAY(),_xlfn.IFS(ISNUMBER(I12),I12,ISNUMBER(H12),H12,ISNUMBER(E12),E12)),
     IF(AND(_xlpm.age&gt;30, _xlpm.stateName="Applied"),"Dormant",_xlpm.stateName))</f>
        <v>Rejected</v>
      </c>
      <c r="O12" s="9" t="str" cm="1">
        <f t="array" aca="1" ref="O12" ca="1">IF(OR(ISNUMBER(J12),ISNUMBER(K12),ISNUMBER(L12)), "", _xlfn.LET(_xlpm.lastDate, _xlfn.IFS(ISNUMBER(I12), I12, ISNUMBER(H12), H12, ISNUMBER(E12), E12, TRUE, TODAY()), IF(_xlpm.lastDate+30&lt;TODAY(), _xlpm.lastDate+30, "")))</f>
        <v/>
      </c>
      <c r="P12" s="5" t="str">
        <f t="shared" si="0"/>
        <v>linkedin</v>
      </c>
      <c r="Q12" s="9" t="str" cm="1">
        <f t="array" ref="Q12">IF(OR(ISNUMBER(J12),ISNUMBER(K12),ISNUMBER(L12)),"",
_xlfn.IFS(ISNUMBER(I12),I12,ISNUMBER(H12),H12,ISNUMBER(E12),E12))</f>
        <v/>
      </c>
      <c r="R12" s="12" t="str" cm="1">
        <f t="array" aca="1" ref="R12" ca="1">IF(OR(ISNUMBER(J12),ISNUMBER(K12),ISNUMBER(L12)),"Offer/Rejected",
_xlfn.LET(_xlpm.age,_xlfn.DAYS(TODAY(),_xlfn.IFS(ISNUMBER(I12),I12,ISNUMBER(H12),H12,ISNUMBER(E12),E12)),_xlpm.age))</f>
        <v>Offer/Rejected</v>
      </c>
      <c r="S12" s="12" t="str" cm="1">
        <f t="array" ref="S12">SUBSTITUTE(_xlfn.IFS(ISNUMBER(L12),$L$1,ISNUMBER(K12),$K$1, ISNUMBER(J12),$J$1,ISNUMBER(I12),$I$1, ISNUMBER(H12),$H$1, ISNUMBER(E12),$E$1),"Date- ","")</f>
        <v>Rejected</v>
      </c>
      <c r="T12" s="12" cm="1">
        <f t="array" aca="1" ref="T12" ca="1">_xlfn.DAYS(TODAY(),_xlfn.IFS(ISNUMBER(I12),I12,ISNUMBER(H12),H12,ISNUMBER(E12),E12))</f>
        <v>8</v>
      </c>
    </row>
    <row r="13" spans="1:20" s="13" customFormat="1" ht="31.5" x14ac:dyDescent="0.25">
      <c r="A13" s="4" t="s">
        <v>53</v>
      </c>
      <c r="B13" s="7" t="s">
        <v>54</v>
      </c>
      <c r="C13" s="8" t="s">
        <v>14</v>
      </c>
      <c r="D13" s="9">
        <v>46215</v>
      </c>
      <c r="E13" s="9">
        <v>46217.229375000003</v>
      </c>
      <c r="F13" s="10" t="s">
        <v>55</v>
      </c>
      <c r="G13" s="4"/>
      <c r="H13" s="11"/>
      <c r="I13" s="11"/>
      <c r="J13" s="11"/>
      <c r="K13" s="11"/>
      <c r="L13" s="11"/>
      <c r="M13" s="4"/>
      <c r="N13" s="4" t="str" cm="1">
        <f t="array" aca="1" ref="N13" ca="1">_xlfn.LET(_xlpm.stateName,SUBSTITUTE(_xlfn.IFS(ISNUMBER(L13),$L$1,ISNUMBER(K13),$K$1, ISNUMBER(J13),$J$1,ISNUMBER(I13),$I$1, ISNUMBER(H13),$H$1, ISNUMBER(E13),$E$1),"Date- ",""),
     _xlpm.age,_xlfn.DAYS(TODAY(),_xlfn.IFS(ISNUMBER(I13),I13,ISNUMBER(H13),H13,ISNUMBER(E13),E13)),
     IF(AND(_xlpm.age&gt;30, _xlpm.stateName="Applied"),"Dormant",_xlpm.stateName))</f>
        <v>Applied</v>
      </c>
      <c r="O13" s="9" t="str" cm="1">
        <f t="array" aca="1" ref="O13" ca="1">IF(OR(ISNUMBER(J13),ISNUMBER(K13),ISNUMBER(L13)), "", _xlfn.LET(_xlpm.lastDate, _xlfn.IFS(ISNUMBER(I13), I13, ISNUMBER(H13), H13, ISNUMBER(E13), E13, TRUE, TODAY()), IF(_xlpm.lastDate+30&lt;TODAY(), _xlpm.lastDate+30, "")))</f>
        <v/>
      </c>
      <c r="P13" s="5" t="str">
        <f t="shared" si="0"/>
        <v>linkedin</v>
      </c>
      <c r="Q13" s="9" cm="1">
        <f t="array" ref="Q13">IF(OR(ISNUMBER(J13),ISNUMBER(K13),ISNUMBER(L13)),"",
_xlfn.IFS(ISNUMBER(I13),I13,ISNUMBER(H13),H13,ISNUMBER(E13),E13))</f>
        <v>46217.229375000003</v>
      </c>
      <c r="R13" s="12" cm="1">
        <f t="array" aca="1" ref="R13" ca="1">IF(OR(ISNUMBER(J13),ISNUMBER(K13),ISNUMBER(L13)),"Offer/Rejected",
_xlfn.LET(_xlpm.age,_xlfn.DAYS(TODAY(),_xlfn.IFS(ISNUMBER(I13),I13,ISNUMBER(H13),H13,ISNUMBER(E13),E13)),_xlpm.age))</f>
        <v>7</v>
      </c>
      <c r="S13" s="12" t="str" cm="1">
        <f t="array" ref="S13">SUBSTITUTE(_xlfn.IFS(ISNUMBER(L13),$L$1,ISNUMBER(K13),$K$1, ISNUMBER(J13),$J$1,ISNUMBER(I13),$I$1, ISNUMBER(H13),$H$1, ISNUMBER(E13),$E$1),"Date- ","")</f>
        <v>Applied</v>
      </c>
      <c r="T13" s="12" cm="1">
        <f t="array" aca="1" ref="T13" ca="1">_xlfn.DAYS(TODAY(),_xlfn.IFS(ISNUMBER(I13),I13,ISNUMBER(H13),H13,ISNUMBER(E13),E13))</f>
        <v>7</v>
      </c>
    </row>
    <row r="14" spans="1:20" s="13" customFormat="1" x14ac:dyDescent="0.25">
      <c r="A14" s="4" t="s">
        <v>56</v>
      </c>
      <c r="B14" s="7" t="s">
        <v>57</v>
      </c>
      <c r="C14" s="8" t="s">
        <v>14</v>
      </c>
      <c r="D14" s="9">
        <v>46216</v>
      </c>
      <c r="E14" s="9">
        <v>46217.237442129626</v>
      </c>
      <c r="F14" s="10" t="s">
        <v>58</v>
      </c>
      <c r="G14" s="4"/>
      <c r="H14" s="11"/>
      <c r="I14" s="11"/>
      <c r="J14" s="11"/>
      <c r="K14" s="11"/>
      <c r="L14" s="11"/>
      <c r="M14" s="4"/>
      <c r="N14" s="4" t="str" cm="1">
        <f t="array" aca="1" ref="N14" ca="1">_xlfn.LET(_xlpm.stateName,SUBSTITUTE(_xlfn.IFS(ISNUMBER(L14),$L$1,ISNUMBER(K14),$K$1, ISNUMBER(J14),$J$1,ISNUMBER(I14),$I$1, ISNUMBER(H14),$H$1, ISNUMBER(E14),$E$1),"Date- ",""),
     _xlpm.age,_xlfn.DAYS(TODAY(),_xlfn.IFS(ISNUMBER(I14),I14,ISNUMBER(H14),H14,ISNUMBER(E14),E14)),
     IF(AND(_xlpm.age&gt;30, _xlpm.stateName="Applied"),"Dormant",_xlpm.stateName))</f>
        <v>Applied</v>
      </c>
      <c r="O14" s="9" t="str" cm="1">
        <f t="array" aca="1" ref="O14" ca="1">IF(OR(ISNUMBER(J14),ISNUMBER(K14),ISNUMBER(L14)), "", _xlfn.LET(_xlpm.lastDate, _xlfn.IFS(ISNUMBER(I14), I14, ISNUMBER(H14), H14, ISNUMBER(E14), E14, TRUE, TODAY()), IF(_xlpm.lastDate+30&lt;TODAY(), _xlpm.lastDate+30, "")))</f>
        <v/>
      </c>
      <c r="P14" s="5" t="str">
        <f t="shared" si="0"/>
        <v>careers-softwareone.icims</v>
      </c>
      <c r="Q14" s="9" cm="1">
        <f t="array" ref="Q14">IF(OR(ISNUMBER(J14),ISNUMBER(K14),ISNUMBER(L14)),"",
_xlfn.IFS(ISNUMBER(I14),I14,ISNUMBER(H14),H14,ISNUMBER(E14),E14))</f>
        <v>46217.237442129626</v>
      </c>
      <c r="R14" s="12" cm="1">
        <f t="array" aca="1" ref="R14" ca="1">IF(OR(ISNUMBER(J14),ISNUMBER(K14),ISNUMBER(L14)),"Offer/Rejected",
_xlfn.LET(_xlpm.age,_xlfn.DAYS(TODAY(),_xlfn.IFS(ISNUMBER(I14),I14,ISNUMBER(H14),H14,ISNUMBER(E14),E14)),_xlpm.age))</f>
        <v>7</v>
      </c>
      <c r="S14" s="12" t="str" cm="1">
        <f t="array" ref="S14">SUBSTITUTE(_xlfn.IFS(ISNUMBER(L14),$L$1,ISNUMBER(K14),$K$1, ISNUMBER(J14),$J$1,ISNUMBER(I14),$I$1, ISNUMBER(H14),$H$1, ISNUMBER(E14),$E$1),"Date- ","")</f>
        <v>Applied</v>
      </c>
      <c r="T14" s="12" cm="1">
        <f t="array" aca="1" ref="T14" ca="1">_xlfn.DAYS(TODAY(),_xlfn.IFS(ISNUMBER(I14),I14,ISNUMBER(H14),H14,ISNUMBER(E14),E14))</f>
        <v>7</v>
      </c>
    </row>
    <row r="15" spans="1:20" s="13" customFormat="1" x14ac:dyDescent="0.25">
      <c r="A15" s="4" t="s">
        <v>56</v>
      </c>
      <c r="B15" s="7" t="s">
        <v>59</v>
      </c>
      <c r="C15" s="8" t="s">
        <v>35</v>
      </c>
      <c r="D15" s="9">
        <v>46216</v>
      </c>
      <c r="E15" s="9">
        <v>46217.241041666668</v>
      </c>
      <c r="F15" s="10" t="s">
        <v>60</v>
      </c>
      <c r="G15" s="4"/>
      <c r="H15" s="11"/>
      <c r="I15" s="11"/>
      <c r="J15" s="11"/>
      <c r="K15" s="11"/>
      <c r="L15" s="11"/>
      <c r="M15" s="4"/>
      <c r="N15" s="4" t="str" cm="1">
        <f t="array" aca="1" ref="N15" ca="1">_xlfn.LET(_xlpm.stateName,SUBSTITUTE(_xlfn.IFS(ISNUMBER(L15),$L$1,ISNUMBER(K15),$K$1, ISNUMBER(J15),$J$1,ISNUMBER(I15),$I$1, ISNUMBER(H15),$H$1, ISNUMBER(E15),$E$1),"Date- ",""),
     _xlpm.age,_xlfn.DAYS(TODAY(),_xlfn.IFS(ISNUMBER(I15),I15,ISNUMBER(H15),H15,ISNUMBER(E15),E15)),
     IF(AND(_xlpm.age&gt;30, _xlpm.stateName="Applied"),"Dormant",_xlpm.stateName))</f>
        <v>Applied</v>
      </c>
      <c r="O15" s="9" t="str" cm="1">
        <f t="array" aca="1" ref="O15" ca="1">IF(OR(ISNUMBER(J15),ISNUMBER(K15),ISNUMBER(L15)), "", _xlfn.LET(_xlpm.lastDate, _xlfn.IFS(ISNUMBER(I15), I15, ISNUMBER(H15), H15, ISNUMBER(E15), E15, TRUE, TODAY()), IF(_xlpm.lastDate+30&lt;TODAY(), _xlpm.lastDate+30, "")))</f>
        <v/>
      </c>
      <c r="P15" s="5" t="str">
        <f t="shared" si="0"/>
        <v>careers-softwareone.icims</v>
      </c>
      <c r="Q15" s="9" cm="1">
        <f t="array" ref="Q15">IF(OR(ISNUMBER(J15),ISNUMBER(K15),ISNUMBER(L15)),"",
_xlfn.IFS(ISNUMBER(I15),I15,ISNUMBER(H15),H15,ISNUMBER(E15),E15))</f>
        <v>46217.241041666668</v>
      </c>
      <c r="R15" s="12" cm="1">
        <f t="array" aca="1" ref="R15" ca="1">IF(OR(ISNUMBER(J15),ISNUMBER(K15),ISNUMBER(L15)),"Offer/Rejected",
_xlfn.LET(_xlpm.age,_xlfn.DAYS(TODAY(),_xlfn.IFS(ISNUMBER(I15),I15,ISNUMBER(H15),H15,ISNUMBER(E15),E15)),_xlpm.age))</f>
        <v>7</v>
      </c>
      <c r="S15" s="12" t="str" cm="1">
        <f t="array" ref="S15">SUBSTITUTE(_xlfn.IFS(ISNUMBER(L15),$L$1,ISNUMBER(K15),$K$1, ISNUMBER(J15),$J$1,ISNUMBER(I15),$I$1, ISNUMBER(H15),$H$1, ISNUMBER(E15),$E$1),"Date- ","")</f>
        <v>Applied</v>
      </c>
      <c r="T15" s="12" cm="1">
        <f t="array" aca="1" ref="T15" ca="1">_xlfn.DAYS(TODAY(),_xlfn.IFS(ISNUMBER(I15),I15,ISNUMBER(H15),H15,ISNUMBER(E15),E15))</f>
        <v>7</v>
      </c>
    </row>
    <row r="16" spans="1:20" s="13" customFormat="1" x14ac:dyDescent="0.25">
      <c r="A16" s="4" t="s">
        <v>56</v>
      </c>
      <c r="B16" s="7" t="s">
        <v>61</v>
      </c>
      <c r="C16" s="8" t="s">
        <v>14</v>
      </c>
      <c r="D16" s="9">
        <v>46216</v>
      </c>
      <c r="E16" s="9">
        <v>46217.24181712963</v>
      </c>
      <c r="F16" s="10" t="s">
        <v>62</v>
      </c>
      <c r="G16" s="4"/>
      <c r="H16" s="11"/>
      <c r="I16" s="11"/>
      <c r="J16" s="11"/>
      <c r="K16" s="11"/>
      <c r="L16" s="11"/>
      <c r="M16" s="4"/>
      <c r="N16" s="4" t="str" cm="1">
        <f t="array" aca="1" ref="N16" ca="1">_xlfn.LET(_xlpm.stateName,SUBSTITUTE(_xlfn.IFS(ISNUMBER(L16),$L$1,ISNUMBER(K16),$K$1, ISNUMBER(J16),$J$1,ISNUMBER(I16),$I$1, ISNUMBER(H16),$H$1, ISNUMBER(E16),$E$1),"Date- ",""),
     _xlpm.age,_xlfn.DAYS(TODAY(),_xlfn.IFS(ISNUMBER(I16),I16,ISNUMBER(H16),H16,ISNUMBER(E16),E16)),
     IF(AND(_xlpm.age&gt;30, _xlpm.stateName="Applied"),"Dormant",_xlpm.stateName))</f>
        <v>Applied</v>
      </c>
      <c r="O16" s="9" t="str" cm="1">
        <f t="array" aca="1" ref="O16" ca="1">IF(OR(ISNUMBER(J16),ISNUMBER(K16),ISNUMBER(L16)), "", _xlfn.LET(_xlpm.lastDate, _xlfn.IFS(ISNUMBER(I16), I16, ISNUMBER(H16), H16, ISNUMBER(E16), E16, TRUE, TODAY()), IF(_xlpm.lastDate+30&lt;TODAY(), _xlpm.lastDate+30, "")))</f>
        <v/>
      </c>
      <c r="P16" s="5" t="str">
        <f t="shared" si="0"/>
        <v>careers-softwareone.icims</v>
      </c>
      <c r="Q16" s="9" cm="1">
        <f t="array" ref="Q16">IF(OR(ISNUMBER(J16),ISNUMBER(K16),ISNUMBER(L16)),"",
_xlfn.IFS(ISNUMBER(I16),I16,ISNUMBER(H16),H16,ISNUMBER(E16),E16))</f>
        <v>46217.24181712963</v>
      </c>
      <c r="R16" s="12" cm="1">
        <f t="array" aca="1" ref="R16" ca="1">IF(OR(ISNUMBER(J16),ISNUMBER(K16),ISNUMBER(L16)),"Offer/Rejected",
_xlfn.LET(_xlpm.age,_xlfn.DAYS(TODAY(),_xlfn.IFS(ISNUMBER(I16),I16,ISNUMBER(H16),H16,ISNUMBER(E16),E16)),_xlpm.age))</f>
        <v>7</v>
      </c>
      <c r="S16" s="12" t="str" cm="1">
        <f t="array" ref="S16">SUBSTITUTE(_xlfn.IFS(ISNUMBER(L16),$L$1,ISNUMBER(K16),$K$1, ISNUMBER(J16),$J$1,ISNUMBER(I16),$I$1, ISNUMBER(H16),$H$1, ISNUMBER(E16),$E$1),"Date- ","")</f>
        <v>Applied</v>
      </c>
      <c r="T16" s="12" cm="1">
        <f t="array" aca="1" ref="T16" ca="1">_xlfn.DAYS(TODAY(),_xlfn.IFS(ISNUMBER(I16),I16,ISNUMBER(H16),H16,ISNUMBER(E16),E16))</f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JobHunt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K S</dc:creator>
  <cp:lastModifiedBy>Arun K S</cp:lastModifiedBy>
  <dcterms:created xsi:type="dcterms:W3CDTF">2026-07-20T18:25:25Z</dcterms:created>
  <dcterms:modified xsi:type="dcterms:W3CDTF">2026-07-20T18:25:27Z</dcterms:modified>
</cp:coreProperties>
</file>