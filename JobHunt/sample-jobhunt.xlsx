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arun\Learn\Excels\JobHunt\JobHunt\"/>
    </mc:Choice>
  </mc:AlternateContent>
  <xr:revisionPtr revIDLastSave="0" documentId="13_ncr:1_{6FE39539-920C-4C29-8938-6AFB484AC63F}" xr6:coauthVersionLast="47" xr6:coauthVersionMax="47" xr10:uidLastSave="{00000000-0000-0000-0000-000000000000}"/>
  <bookViews>
    <workbookView xWindow="-24120" yWindow="-120" windowWidth="24240" windowHeight="13140" xr2:uid="{00000000-000D-0000-FFFF-FFFF00000000}"/>
  </bookViews>
  <sheets>
    <sheet name="JobHu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1" l="1" a="1"/>
  <c r="N4" i="1" s="1"/>
  <c r="O4" i="1"/>
  <c r="N5" i="1" a="1"/>
  <c r="N5" i="1" s="1"/>
  <c r="O5" i="1"/>
  <c r="N6" i="1" a="1"/>
  <c r="N6" i="1" s="1"/>
  <c r="O6" i="1"/>
  <c r="N3" i="1" a="1"/>
  <c r="N3" i="1" s="1"/>
  <c r="O3" i="1"/>
  <c r="O2" i="1"/>
  <c r="N2" i="1" a="1"/>
  <c r="N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<sst xmlns="http://schemas.openxmlformats.org/spreadsheetml/2006/main" count="45" uniqueCount="33">
  <si>
    <t>Company Name</t>
  </si>
  <si>
    <t>Position Name</t>
  </si>
  <si>
    <t>Role Type</t>
  </si>
  <si>
    <t>Date- Job Posted</t>
  </si>
  <si>
    <t>Date- Applied</t>
  </si>
  <si>
    <t>Flag to see if the job posting is still accepting candidates</t>
  </si>
  <si>
    <t>Date- Short Listed</t>
  </si>
  <si>
    <t>Date- Interview/Test</t>
  </si>
  <si>
    <t>Date- Offer</t>
  </si>
  <si>
    <t>Date- Rejected</t>
  </si>
  <si>
    <t>Date- Declined by Me</t>
  </si>
  <si>
    <t>Log</t>
  </si>
  <si>
    <t>Status</t>
  </si>
  <si>
    <t>Portal</t>
  </si>
  <si>
    <t>Acme Corp</t>
  </si>
  <si>
    <t>Project Manager</t>
  </si>
  <si>
    <t>https://www.linkedin.com/jobs/view/1/</t>
  </si>
  <si>
    <t>Yes</t>
  </si>
  <si>
    <t>Phone screen scheduled.</t>
  </si>
  <si>
    <t>Beta Ltd</t>
  </si>
  <si>
    <t>Program Manager</t>
  </si>
  <si>
    <t>https://jobs.example.com/a</t>
  </si>
  <si>
    <t>No</t>
  </si>
  <si>
    <t>20260510: Rejected</t>
  </si>
  <si>
    <t xml:space="preserve">URL of Job Posting </t>
  </si>
  <si>
    <t>AI Engineer</t>
  </si>
  <si>
    <t>AI</t>
  </si>
  <si>
    <t>https://www.linkedin.com/jobs/view/2/</t>
  </si>
  <si>
    <t>https://jobs.example.com/b</t>
  </si>
  <si>
    <t>https://www.linkedin.com/jobs/view/3/</t>
  </si>
  <si>
    <t>Manager</t>
  </si>
  <si>
    <t>Center Head</t>
  </si>
  <si>
    <t>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</si>
</sst>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/>
    <xf numFmtId="0" fontId="1" fillId="4" borderId="1" xfId="0" applyFont="1" applyFill="1" applyBorder="1"/>
    <xf numFmtId="0" fontId="0" fillId="0" borderId="1" xfId="0" applyBorder="1"/>
    <xf numFmtId="0" fontId="2" fillId="0" borderId="1" xfId="0" applyFont="1" applyBorder="1"/>
    <xf numFmtId="1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"/>
  <sheetViews>
    <sheetView tabSelected="1" workbookViewId="0">
      <selection activeCell="C7" sqref="C7"/>
    </sheetView>
  </sheetViews>
  <sheetFormatPr defaultRowHeight="15" x14ac:dyDescent="0.25"/>
  <cols>
    <col min="1" max="1" width="13.25" bestFit="1" customWidth="1"/>
    <col min="2" max="2" width="15.5" bestFit="1" customWidth="1"/>
    <col min="4" max="4" width="9.375" bestFit="1" customWidth="1"/>
    <col min="6" max="6" width="33.75" bestFit="1" customWidth="1"/>
    <col min="14" max="14" width="10.375" bestFit="1" customWidth="1"/>
    <col min="15" max="15" width="10" bestFit="1" customWidth="1"/>
  </cols>
  <sheetData>
    <row r="1" spans="1:15" ht="15.75" x14ac:dyDescent="0.25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24</v>
      </c>
      <c r="G1" s="1" t="s">
        <v>5</v>
      </c>
      <c r="H1" s="1" t="s">
        <v>6</v>
      </c>
      <c r="I1" s="1" t="s">
        <v>7</v>
      </c>
      <c r="J1" s="1" t="s">
        <v>8</v>
      </c>
      <c r="K1" s="3" t="s">
        <v>9</v>
      </c>
      <c r="L1" s="1" t="s">
        <v>10</v>
      </c>
      <c r="M1" s="1" t="s">
        <v>11</v>
      </c>
      <c r="N1" s="4" t="s">
        <v>12</v>
      </c>
      <c r="O1" s="4" t="s">
        <v>13</v>
      </c>
    </row>
    <row r="2" spans="1:15" ht="15.75" x14ac:dyDescent="0.25">
      <c r="A2" s="5" t="s">
        <v>14</v>
      </c>
      <c r="B2" s="5" t="s">
        <v>15</v>
      </c>
      <c r="C2" s="5" t="s">
        <v>30</v>
      </c>
      <c r="D2" s="7">
        <v>46143.333333333336</v>
      </c>
      <c r="E2" s="7">
        <v>46145.333333333336</v>
      </c>
      <c r="F2" s="5" t="s">
        <v>16</v>
      </c>
      <c r="G2" s="5" t="s">
        <v>17</v>
      </c>
      <c r="H2" s="7">
        <v>46147.333333333336</v>
      </c>
      <c r="I2" s="5"/>
      <c r="J2" s="5"/>
      <c r="K2" s="5"/>
      <c r="L2" s="5"/>
      <c r="M2" s="5" t="s">
        <v>18</v>
      </c>
      <c r="N2" s="5" t="str" cm="1">
        <f t="array" aca="1" ref="N2" ca="1">_xlfn.LET(_xlpm.stateName,SUBSTITUTE(_xlfn.IFS(ISNUMBER(L2),$L$1,ISNUMBER(K2),$K$1, ISNUMBER(J2),$J$1,ISNUMBER(I2),$I$1, ISNUMBER(H2),$H$1, ISNUMBER(E2),$E$1),"Date- ",""),
     _xlpm.age,_xlfn.DAYS(TODAY(),_xlfn.IFS(ISNUMBER(I2),I2,ISNUMBER(H2),H2,ISNUMBER(E2),E2)),
     IF(AND(_xlpm.age&gt;30, _xlpm.stateName="Applied"),"Dormant",_xlpm.stateName))</f>
        <v>Short Listed</v>
      </c>
      <c r="O2" s="6" t="str">
        <f>SUBSTITUTE(SUBSTITUTE(MID(F2, FIND("://", F2) + 3, IF(ISNUMBER(FIND("/", F2, 9)), FIND("/", F2, 9), LEN(F2)+1) - FIND("://", F2) - 3), "www.", ""), ".com", "")</f>
        <v>linkedin</v>
      </c>
    </row>
    <row r="3" spans="1:15" ht="15.75" x14ac:dyDescent="0.25">
      <c r="A3" s="5" t="s">
        <v>19</v>
      </c>
      <c r="B3" s="5" t="s">
        <v>20</v>
      </c>
      <c r="C3" s="5" t="s">
        <v>30</v>
      </c>
      <c r="D3" s="7">
        <v>46144.333333333336</v>
      </c>
      <c r="E3" s="7">
        <v>46146.333333333336</v>
      </c>
      <c r="F3" s="5" t="s">
        <v>21</v>
      </c>
      <c r="G3" s="5" t="s">
        <v>22</v>
      </c>
      <c r="H3" s="5"/>
      <c r="I3" s="7">
        <v>46150.333333333336</v>
      </c>
      <c r="J3" s="5"/>
      <c r="K3" s="7">
        <v>46152.333333333336</v>
      </c>
      <c r="L3" s="5"/>
      <c r="M3" s="5" t="s">
        <v>23</v>
      </c>
      <c r="N3" s="5" t="str" cm="1">
        <f t="array" aca="1" ref="N3" ca="1">_xlfn.LET(_xlpm.stateName,SUBSTITUTE(_xlfn.IFS(ISNUMBER(L3),$L$1,ISNUMBER(K3),$K$1, ISNUMBER(J3),$J$1,ISNUMBER(I3),$I$1, ISNUMBER(H3),$H$1, ISNUMBER(E3),$E$1),"Date- ",""),
     _xlpm.age,_xlfn.DAYS(TODAY(),_xlfn.IFS(ISNUMBER(I3),I3,ISNUMBER(H3),H3,ISNUMBER(E3),E3)),
     IF(AND(_xlpm.age&gt;30, _xlpm.stateName="Applied"),"Dormant",_xlpm.stateName))</f>
        <v>Rejected</v>
      </c>
      <c r="O3" s="6" t="str">
        <f>SUBSTITUTE(SUBSTITUTE(MID(F3, FIND("://", F3) + 3, IF(ISNUMBER(FIND("/", F3, 9)), FIND("/", F3, 9), LEN(F3)+1) - FIND("://", F3) - 3), "www.", ""), ".com", "")</f>
        <v>jobs.example</v>
      </c>
    </row>
    <row r="4" spans="1:15" ht="15.75" x14ac:dyDescent="0.25">
      <c r="A4" s="5" t="s">
        <v>14</v>
      </c>
      <c r="B4" s="5" t="s">
        <v>25</v>
      </c>
      <c r="C4" s="5" t="s">
        <v>26</v>
      </c>
      <c r="D4" s="7">
        <v>46145</v>
      </c>
      <c r="E4" s="7">
        <v>46147</v>
      </c>
      <c r="F4" s="5" t="s">
        <v>27</v>
      </c>
      <c r="G4" s="5" t="s">
        <v>17</v>
      </c>
      <c r="H4" s="7"/>
      <c r="I4" s="5"/>
      <c r="J4" s="5"/>
      <c r="K4" s="5"/>
      <c r="L4" s="5"/>
      <c r="M4" s="5" t="s">
        <v>18</v>
      </c>
      <c r="N4" s="5" t="str" cm="1">
        <f t="array" aca="1" ref="N4" ca="1">_xlfn.LET(_xlpm.stateName,SUBSTITUTE(_xlfn.IFS(ISNUMBER(L4),$L$1,ISNUMBER(K4),$K$1, ISNUMBER(J4),$J$1,ISNUMBER(I4),$I$1, ISNUMBER(H4),$H$1, ISNUMBER(E4),$E$1),"Date- ",""),
     _xlpm.age,_xlfn.DAYS(TODAY(),_xlfn.IFS(ISNUMBER(I4),I4,ISNUMBER(H4),H4,ISNUMBER(E4),E4)),
     IF(AND(_xlpm.age&gt;30, _xlpm.stateName="Applied"),"Dormant",_xlpm.stateName))</f>
        <v>Applied</v>
      </c>
      <c r="O4" s="6" t="str">
        <f t="shared" ref="O4:O6" si="0">SUBSTITUTE(SUBSTITUTE(MID(F4, FIND("://", F4) + 3, IF(ISNUMBER(FIND("/", F4, 9)), FIND("/", F4, 9), LEN(F4)+1) - FIND("://", F4) - 3), "www.", ""), ".com", "")</f>
        <v>linkedin</v>
      </c>
    </row>
    <row r="5" spans="1:15" ht="15.75" x14ac:dyDescent="0.25">
      <c r="A5" s="5" t="s">
        <v>19</v>
      </c>
      <c r="B5" s="5" t="s">
        <v>31</v>
      </c>
      <c r="C5" s="5" t="s">
        <v>32</v>
      </c>
      <c r="D5" s="7">
        <v>46142</v>
      </c>
      <c r="E5" s="7">
        <v>46151</v>
      </c>
      <c r="F5" s="5" t="s">
        <v>28</v>
      </c>
      <c r="G5" s="5" t="s">
        <v>22</v>
      </c>
      <c r="H5" s="5"/>
      <c r="I5" s="7"/>
      <c r="J5" s="5"/>
      <c r="K5" s="7"/>
      <c r="L5" s="5"/>
      <c r="M5" s="5" t="s">
        <v>23</v>
      </c>
      <c r="N5" s="5" t="str" cm="1">
        <f t="array" aca="1" ref="N5" ca="1">_xlfn.LET(_xlpm.stateName,SUBSTITUTE(_xlfn.IFS(ISNUMBER(L5),$L$1,ISNUMBER(K5),$K$1, ISNUMBER(J5),$J$1,ISNUMBER(I5),$I$1, ISNUMBER(H5),$H$1, ISNUMBER(E5),$E$1),"Date- ",""),
     _xlpm.age,_xlfn.DAYS(TODAY(),_xlfn.IFS(ISNUMBER(I5),I5,ISNUMBER(H5),H5,ISNUMBER(E5),E5)),
     IF(AND(_xlpm.age&gt;30, _xlpm.stateName="Applied"),"Dormant",_xlpm.stateName))</f>
        <v>Applied</v>
      </c>
      <c r="O5" s="6" t="str">
        <f t="shared" si="0"/>
        <v>jobs.example</v>
      </c>
    </row>
    <row r="6" spans="1:15" ht="15.75" x14ac:dyDescent="0.25">
      <c r="A6" s="5" t="s">
        <v>14</v>
      </c>
      <c r="B6" s="5" t="s">
        <v>15</v>
      </c>
      <c r="C6" s="5" t="s">
        <v>30</v>
      </c>
      <c r="D6" s="7">
        <v>46142</v>
      </c>
      <c r="E6" s="7">
        <v>46143</v>
      </c>
      <c r="F6" s="5" t="s">
        <v>29</v>
      </c>
      <c r="G6" s="5" t="s">
        <v>17</v>
      </c>
      <c r="H6" s="7"/>
      <c r="I6" s="5"/>
      <c r="J6" s="5"/>
      <c r="K6" s="5"/>
      <c r="L6" s="5"/>
      <c r="M6" s="5" t="s">
        <v>18</v>
      </c>
      <c r="N6" s="5" t="str" cm="1">
        <f t="array" aca="1" ref="N6" ca="1">_xlfn.LET(_xlpm.stateName,SUBSTITUTE(_xlfn.IFS(ISNUMBER(L6),$L$1,ISNUMBER(K6),$K$1, ISNUMBER(J6),$J$1,ISNUMBER(I6),$I$1, ISNUMBER(H6),$H$1, ISNUMBER(E6),$E$1),"Date- ",""),
     _xlpm.age,_xlfn.DAYS(TODAY(),_xlfn.IFS(ISNUMBER(I6),I6,ISNUMBER(H6),H6,ISNUMBER(E6),E6)),
     IF(AND(_xlpm.age&gt;30, _xlpm.stateName="Applied"),"Dormant",_xlpm.stateName))</f>
        <v>Dormant</v>
      </c>
      <c r="O6" s="6" t="str">
        <f t="shared" si="0"/>
        <v>linkedin</v>
      </c>
    </row>
  </sheetData>
  <pageMargins left="0.7" right="0.7" top="0.75" bottom="0.75" header="0.3" footer="0.3"/>
  <ignoredErrors>
    <ignoredError sqref="A3:B3 A2:B2 G3:M3 G2:M2 D2:E2 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JobHunt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Arun K S</cp:lastModifiedBy>
  <dcterms:modified xsi:type="dcterms:W3CDTF">2026-06-03T18:13:38Z</dcterms:modified>
</cp:coreProperties>
</file>